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Scores" sheetId="1" state="visible" r:id="rId1"/>
    <sheet xmlns:r="http://schemas.openxmlformats.org/officeDocument/2006/relationships" name="🏆 Classement" sheetId="2" state="visible" r:id="rId2"/>
    <sheet xmlns:r="http://schemas.openxmlformats.org/officeDocument/2006/relationships" name="📊 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;-0;0"/>
  </numFmts>
  <fonts count="17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b val="1"/>
      <color rgb="00FFFFFF"/>
      <sz val="10"/>
    </font>
    <font>
      <name val="Arial"/>
      <b val="1"/>
      <color rgb="00FFFFFF"/>
      <sz val="11"/>
    </font>
    <font>
      <name val="Arial"/>
      <color rgb="00999999"/>
      <sz val="9"/>
    </font>
    <font>
      <name val="Arial"/>
      <b val="1"/>
      <color rgb="00000000"/>
      <sz val="11"/>
    </font>
    <font>
      <name val="Arial"/>
      <b val="1"/>
      <color rgb="001a7a3c"/>
      <sz val="14"/>
    </font>
    <font>
      <name val="Arial"/>
      <color rgb="00aaaaaa"/>
      <sz val="10"/>
    </font>
    <font>
      <name val="Arial"/>
      <i val="1"/>
      <color rgb="00333333"/>
      <sz val="10"/>
    </font>
    <font>
      <name val="Arial"/>
      <color rgb="00cccccc"/>
      <sz val="9"/>
    </font>
    <font>
      <name val="Arial"/>
      <i val="1"/>
      <color rgb="00FFFFFF"/>
      <sz val="10"/>
    </font>
    <font>
      <b val="1"/>
      <color rgb="00FFFFFF"/>
    </font>
    <font>
      <name val="Arial"/>
      <b val="1"/>
      <color rgb="001a7a3c"/>
      <sz val="12"/>
    </font>
    <font>
      <name val="Arial"/>
      <b val="1"/>
      <color rgb="001a1a1a"/>
      <sz val="12"/>
    </font>
    <font>
      <name val="Arial"/>
      <color rgb="00333333"/>
      <sz val="10"/>
    </font>
    <font>
      <name val="Arial"/>
      <b val="1"/>
      <color rgb="001a7a3c"/>
      <sz val="11"/>
    </font>
    <font>
      <name val="Arial"/>
      <i val="1"/>
      <color rgb="00555555"/>
      <sz val="9"/>
    </font>
  </fonts>
  <fills count="12">
    <fill>
      <patternFill/>
    </fill>
    <fill>
      <patternFill patternType="gray125"/>
    </fill>
    <fill>
      <patternFill patternType="solid">
        <fgColor rgb="001a7a3c"/>
      </patternFill>
    </fill>
    <fill>
      <patternFill patternType="solid">
        <fgColor rgb="001e8449"/>
      </patternFill>
    </fill>
    <fill>
      <patternFill patternType="solid">
        <fgColor rgb="00145a2e"/>
      </patternFill>
    </fill>
    <fill>
      <patternFill patternType="solid">
        <fgColor rgb="00FFFFFF"/>
      </patternFill>
    </fill>
    <fill>
      <patternFill patternType="solid">
        <fgColor rgb="00fffde7"/>
      </patternFill>
    </fill>
    <fill>
      <patternFill patternType="solid">
        <fgColor rgb="00f0f9f3"/>
      </patternFill>
    </fill>
    <fill>
      <patternFill patternType="solid">
        <fgColor rgb="00fff3cd"/>
      </patternFill>
    </fill>
    <fill>
      <patternFill patternType="solid">
        <fgColor rgb="00e9ecef"/>
      </patternFill>
    </fill>
    <fill>
      <patternFill patternType="solid">
        <fgColor rgb="00f8d7be"/>
      </patternFill>
    </fill>
    <fill>
      <patternFill patternType="solid">
        <fgColor rgb="00d4edd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left" vertical="center"/>
    </xf>
    <xf numFmtId="0" fontId="4" fillId="5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right" vertical="center"/>
    </xf>
    <xf numFmtId="1" fontId="6" fillId="6" borderId="0" applyAlignment="1" pivotButton="0" quotePrefix="0" xfId="0">
      <alignment horizontal="center" vertical="center"/>
    </xf>
    <xf numFmtId="0" fontId="7" fillId="5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left" vertical="center"/>
    </xf>
    <xf numFmtId="0" fontId="8" fillId="5" borderId="0" applyAlignment="1" pivotButton="0" quotePrefix="0" xfId="0">
      <alignment horizontal="center" vertical="center"/>
    </xf>
    <xf numFmtId="0" fontId="9" fillId="5" borderId="0" applyAlignment="1" pivotButton="0" quotePrefix="0" xfId="0">
      <alignment horizontal="center" vertical="center"/>
    </xf>
    <xf numFmtId="0" fontId="4" fillId="7" borderId="0" applyAlignment="1" pivotButton="0" quotePrefix="0" xfId="0">
      <alignment horizontal="center" vertical="center"/>
    </xf>
    <xf numFmtId="0" fontId="5" fillId="7" borderId="0" applyAlignment="1" pivotButton="0" quotePrefix="0" xfId="0">
      <alignment horizontal="right" vertical="center"/>
    </xf>
    <xf numFmtId="0" fontId="7" fillId="7" borderId="0" applyAlignment="1" pivotButton="0" quotePrefix="0" xfId="0">
      <alignment horizontal="center" vertical="center"/>
    </xf>
    <xf numFmtId="0" fontId="5" fillId="7" borderId="0" applyAlignment="1" pivotButton="0" quotePrefix="0" xfId="0">
      <alignment horizontal="left" vertical="center"/>
    </xf>
    <xf numFmtId="0" fontId="8" fillId="7" borderId="0" applyAlignment="1" pivotButton="0" quotePrefix="0" xfId="0">
      <alignment horizontal="center" vertical="center"/>
    </xf>
    <xf numFmtId="0" fontId="9" fillId="7" borderId="0" applyAlignment="1" pivotButton="0" quotePrefix="0" xfId="0">
      <alignment horizontal="center" vertical="center"/>
    </xf>
    <xf numFmtId="0" fontId="10" fillId="4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12" fillId="8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13" fillId="8" borderId="1" applyAlignment="1" pivotButton="0" quotePrefix="0" xfId="0">
      <alignment horizontal="left" vertical="center"/>
    </xf>
    <xf numFmtId="0" fontId="14" fillId="8" borderId="1" applyAlignment="1" pivotButton="0" quotePrefix="0" xfId="0">
      <alignment horizontal="center" vertical="center"/>
    </xf>
    <xf numFmtId="164" fontId="14" fillId="8" borderId="1" applyAlignment="1" pivotButton="0" quotePrefix="0" xfId="0">
      <alignment horizontal="center" vertical="center"/>
    </xf>
    <xf numFmtId="0" fontId="15" fillId="8" borderId="1" applyAlignment="1" pivotButton="0" quotePrefix="0" xfId="0">
      <alignment horizontal="center" vertical="center"/>
    </xf>
    <xf numFmtId="0" fontId="12" fillId="9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13" fillId="9" borderId="1" applyAlignment="1" pivotButton="0" quotePrefix="0" xfId="0">
      <alignment horizontal="left" vertical="center"/>
    </xf>
    <xf numFmtId="0" fontId="14" fillId="9" borderId="1" applyAlignment="1" pivotButton="0" quotePrefix="0" xfId="0">
      <alignment horizontal="center" vertical="center"/>
    </xf>
    <xf numFmtId="164" fontId="14" fillId="9" borderId="1" applyAlignment="1" pivotButton="0" quotePrefix="0" xfId="0">
      <alignment horizontal="center" vertical="center"/>
    </xf>
    <xf numFmtId="0" fontId="15" fillId="9" borderId="1" applyAlignment="1" pivotButton="0" quotePrefix="0" xfId="0">
      <alignment horizontal="center" vertical="center"/>
    </xf>
    <xf numFmtId="0" fontId="12" fillId="10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13" fillId="10" borderId="1" applyAlignment="1" pivotButton="0" quotePrefix="0" xfId="0">
      <alignment horizontal="left" vertical="center"/>
    </xf>
    <xf numFmtId="0" fontId="14" fillId="10" borderId="1" applyAlignment="1" pivotButton="0" quotePrefix="0" xfId="0">
      <alignment horizontal="center" vertical="center"/>
    </xf>
    <xf numFmtId="164" fontId="14" fillId="10" borderId="1" applyAlignment="1" pivotButton="0" quotePrefix="0" xfId="0">
      <alignment horizontal="center" vertical="center"/>
    </xf>
    <xf numFmtId="0" fontId="15" fillId="10" borderId="1" applyAlignment="1" pivotButton="0" quotePrefix="0" xfId="0">
      <alignment horizontal="center" vertical="center"/>
    </xf>
    <xf numFmtId="0" fontId="12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13" fillId="5" borderId="1" applyAlignment="1" pivotButton="0" quotePrefix="0" xfId="0">
      <alignment horizontal="left" vertical="center"/>
    </xf>
    <xf numFmtId="0" fontId="14" fillId="5" borderId="1" applyAlignment="1" pivotButton="0" quotePrefix="0" xfId="0">
      <alignment horizontal="center" vertical="center"/>
    </xf>
    <xf numFmtId="164" fontId="14" fillId="5" borderId="1" applyAlignment="1" pivotButton="0" quotePrefix="0" xfId="0">
      <alignment horizontal="center" vertical="center"/>
    </xf>
    <xf numFmtId="0" fontId="15" fillId="5" borderId="1" applyAlignment="1" pivotButton="0" quotePrefix="0" xfId="0">
      <alignment horizontal="center" vertical="center"/>
    </xf>
    <xf numFmtId="0" fontId="16" fillId="11" borderId="0" applyAlignment="1" pivotButton="0" quotePrefix="0" xfId="0">
      <alignment horizontal="left" vertical="center"/>
    </xf>
    <xf numFmtId="0" fontId="1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16" customWidth="1" min="2" max="2"/>
    <col width="8" customWidth="1" min="3" max="3"/>
    <col width="3" customWidth="1" min="4" max="4"/>
    <col width="8" customWidth="1" min="5" max="5"/>
    <col width="16" customWidth="1" min="6" max="6"/>
    <col width="20" customWidth="1" min="7" max="7"/>
    <col width="4" customWidth="1" min="8" max="8"/>
  </cols>
  <sheetData>
    <row r="1" ht="36" customHeight="1">
      <c r="A1" s="1" t="inlineStr">
        <is>
          <t>⚽  TOURNOI FIFA  —  SCORES</t>
        </is>
      </c>
    </row>
    <row r="2" ht="22" customHeight="1">
      <c r="A2" s="2" t="inlineStr">
        <is>
          <t>#</t>
        </is>
      </c>
      <c r="B2" s="2" t="inlineStr">
        <is>
          <t>Domicile</t>
        </is>
      </c>
      <c r="C2" s="2" t="inlineStr">
        <is>
          <t>Score</t>
        </is>
      </c>
      <c r="D2" s="2" t="inlineStr">
        <is>
          <t>vs</t>
        </is>
      </c>
      <c r="E2" s="2" t="inlineStr">
        <is>
          <t>Score</t>
        </is>
      </c>
      <c r="F2" s="2" t="inlineStr">
        <is>
          <t>Extérieur</t>
        </is>
      </c>
      <c r="G2" s="2" t="inlineStr">
        <is>
          <t>Résultat</t>
        </is>
      </c>
      <c r="H2" s="2" t="inlineStr">
        <is>
          <t>J</t>
        </is>
      </c>
    </row>
    <row r="3" ht="20" customHeight="1">
      <c r="A3" s="3" t="inlineStr">
        <is>
          <t xml:space="preserve">  JOURNÉE 1</t>
        </is>
      </c>
    </row>
    <row r="4" ht="24" customHeight="1">
      <c r="A4" s="4" t="inlineStr">
        <is>
          <t>1.1</t>
        </is>
      </c>
      <c r="B4" s="5" t="inlineStr">
        <is>
          <t>Dan</t>
        </is>
      </c>
      <c r="C4" s="6" t="n"/>
      <c r="D4" s="7" t="inlineStr">
        <is>
          <t>—</t>
        </is>
      </c>
      <c r="E4" s="6" t="n"/>
      <c r="F4" s="8" t="inlineStr">
        <is>
          <t>Bryan</t>
        </is>
      </c>
      <c r="G4" s="9">
        <f>IF(OR(C4="",E4=""),"",IF(C4&gt;E4,B4&amp;" 🏆",IF(C4&lt;E4,F4&amp;" 🏆","Match Nul ✌")))</f>
        <v/>
      </c>
      <c r="H4" s="10" t="n">
        <v>1</v>
      </c>
    </row>
    <row r="5" ht="24" customHeight="1">
      <c r="A5" s="11" t="inlineStr">
        <is>
          <t>1.2</t>
        </is>
      </c>
      <c r="B5" s="12" t="inlineStr">
        <is>
          <t>Lucas</t>
        </is>
      </c>
      <c r="C5" s="6" t="n"/>
      <c r="D5" s="13" t="inlineStr">
        <is>
          <t>—</t>
        </is>
      </c>
      <c r="E5" s="6" t="n"/>
      <c r="F5" s="14" t="inlineStr">
        <is>
          <t>Justinio</t>
        </is>
      </c>
      <c r="G5" s="15">
        <f>IF(OR(C5="",E5=""),"",IF(C5&gt;E5,B5&amp;" 🏆",IF(C5&lt;E5,F5&amp;" 🏆","Match Nul ✌")))</f>
        <v/>
      </c>
      <c r="H5" s="16" t="n">
        <v>1</v>
      </c>
    </row>
    <row r="6" ht="24" customHeight="1">
      <c r="A6" s="4" t="inlineStr">
        <is>
          <t>1.3</t>
        </is>
      </c>
      <c r="B6" s="5" t="inlineStr">
        <is>
          <t>Valentin</t>
        </is>
      </c>
      <c r="C6" s="6" t="n"/>
      <c r="D6" s="7" t="inlineStr">
        <is>
          <t>—</t>
        </is>
      </c>
      <c r="E6" s="6" t="n"/>
      <c r="F6" s="8" t="inlineStr">
        <is>
          <t>Cédric</t>
        </is>
      </c>
      <c r="G6" s="9">
        <f>IF(OR(C6="",E6=""),"",IF(C6&gt;E6,B6&amp;" 🏆",IF(C6&lt;E6,F6&amp;" 🏆","Match Nul ✌")))</f>
        <v/>
      </c>
      <c r="H6" s="10" t="n">
        <v>1</v>
      </c>
    </row>
    <row r="8" ht="20" customHeight="1">
      <c r="A8" s="3" t="inlineStr">
        <is>
          <t xml:space="preserve">  JOURNÉE 2</t>
        </is>
      </c>
    </row>
    <row r="9" ht="24" customHeight="1">
      <c r="A9" s="4" t="inlineStr">
        <is>
          <t>2.1</t>
        </is>
      </c>
      <c r="B9" s="5" t="inlineStr">
        <is>
          <t>Dan</t>
        </is>
      </c>
      <c r="C9" s="6" t="n"/>
      <c r="D9" s="7" t="inlineStr">
        <is>
          <t>—</t>
        </is>
      </c>
      <c r="E9" s="6" t="n"/>
      <c r="F9" s="8" t="inlineStr">
        <is>
          <t>Justinio</t>
        </is>
      </c>
      <c r="G9" s="9">
        <f>IF(OR(C9="",E9=""),"",IF(C9&gt;E9,B9&amp;" 🏆",IF(C9&lt;E9,F9&amp;" 🏆","Match Nul ✌")))</f>
        <v/>
      </c>
      <c r="H9" s="10" t="n">
        <v>2</v>
      </c>
    </row>
    <row r="10" ht="24" customHeight="1">
      <c r="A10" s="11" t="inlineStr">
        <is>
          <t>2.2</t>
        </is>
      </c>
      <c r="B10" s="12" t="inlineStr">
        <is>
          <t>Bryan</t>
        </is>
      </c>
      <c r="C10" s="6" t="n"/>
      <c r="D10" s="13" t="inlineStr">
        <is>
          <t>—</t>
        </is>
      </c>
      <c r="E10" s="6" t="n"/>
      <c r="F10" s="14" t="inlineStr">
        <is>
          <t>Cédric</t>
        </is>
      </c>
      <c r="G10" s="15">
        <f>IF(OR(C10="",E10=""),"",IF(C10&gt;E10,B10&amp;" 🏆",IF(C10&lt;E10,F10&amp;" 🏆","Match Nul ✌")))</f>
        <v/>
      </c>
      <c r="H10" s="16" t="n">
        <v>2</v>
      </c>
    </row>
    <row r="11" ht="24" customHeight="1">
      <c r="A11" s="4" t="inlineStr">
        <is>
          <t>2.3</t>
        </is>
      </c>
      <c r="B11" s="5" t="inlineStr">
        <is>
          <t>Lucas</t>
        </is>
      </c>
      <c r="C11" s="6" t="n"/>
      <c r="D11" s="7" t="inlineStr">
        <is>
          <t>—</t>
        </is>
      </c>
      <c r="E11" s="6" t="n"/>
      <c r="F11" s="8" t="inlineStr">
        <is>
          <t>Valentin</t>
        </is>
      </c>
      <c r="G11" s="9">
        <f>IF(OR(C11="",E11=""),"",IF(C11&gt;E11,B11&amp;" 🏆",IF(C11&lt;E11,F11&amp;" 🏆","Match Nul ✌")))</f>
        <v/>
      </c>
      <c r="H11" s="10" t="n">
        <v>2</v>
      </c>
    </row>
    <row r="13" ht="20" customHeight="1">
      <c r="A13" s="3" t="inlineStr">
        <is>
          <t xml:space="preserve">  JOURNÉE 3</t>
        </is>
      </c>
    </row>
    <row r="14" ht="24" customHeight="1">
      <c r="A14" s="4" t="inlineStr">
        <is>
          <t>3.1</t>
        </is>
      </c>
      <c r="B14" s="5" t="inlineStr">
        <is>
          <t>Dan</t>
        </is>
      </c>
      <c r="C14" s="6" t="n"/>
      <c r="D14" s="7" t="inlineStr">
        <is>
          <t>—</t>
        </is>
      </c>
      <c r="E14" s="6" t="n"/>
      <c r="F14" s="8" t="inlineStr">
        <is>
          <t>Cédric</t>
        </is>
      </c>
      <c r="G14" s="9">
        <f>IF(OR(C14="",E14=""),"",IF(C14&gt;E14,B14&amp;" 🏆",IF(C14&lt;E14,F14&amp;" 🏆","Match Nul ✌")))</f>
        <v/>
      </c>
      <c r="H14" s="10" t="n">
        <v>3</v>
      </c>
    </row>
    <row r="15" ht="24" customHeight="1">
      <c r="A15" s="11" t="inlineStr">
        <is>
          <t>3.2</t>
        </is>
      </c>
      <c r="B15" s="12" t="inlineStr">
        <is>
          <t>Justinio</t>
        </is>
      </c>
      <c r="C15" s="6" t="n"/>
      <c r="D15" s="13" t="inlineStr">
        <is>
          <t>—</t>
        </is>
      </c>
      <c r="E15" s="6" t="n"/>
      <c r="F15" s="14" t="inlineStr">
        <is>
          <t>Valentin</t>
        </is>
      </c>
      <c r="G15" s="15">
        <f>IF(OR(C15="",E15=""),"",IF(C15&gt;E15,B15&amp;" 🏆",IF(C15&lt;E15,F15&amp;" 🏆","Match Nul ✌")))</f>
        <v/>
      </c>
      <c r="H15" s="16" t="n">
        <v>3</v>
      </c>
    </row>
    <row r="16" ht="24" customHeight="1">
      <c r="A16" s="4" t="inlineStr">
        <is>
          <t>3.3</t>
        </is>
      </c>
      <c r="B16" s="5" t="inlineStr">
        <is>
          <t>Bryan</t>
        </is>
      </c>
      <c r="C16" s="6" t="n"/>
      <c r="D16" s="7" t="inlineStr">
        <is>
          <t>—</t>
        </is>
      </c>
      <c r="E16" s="6" t="n"/>
      <c r="F16" s="8" t="inlineStr">
        <is>
          <t>Lucas</t>
        </is>
      </c>
      <c r="G16" s="9">
        <f>IF(OR(C16="",E16=""),"",IF(C16&gt;E16,B16&amp;" 🏆",IF(C16&lt;E16,F16&amp;" 🏆","Match Nul ✌")))</f>
        <v/>
      </c>
      <c r="H16" s="10" t="n">
        <v>3</v>
      </c>
    </row>
    <row r="18" ht="20" customHeight="1">
      <c r="A18" s="3" t="inlineStr">
        <is>
          <t xml:space="preserve">  JOURNÉE 4</t>
        </is>
      </c>
    </row>
    <row r="19" ht="24" customHeight="1">
      <c r="A19" s="4" t="inlineStr">
        <is>
          <t>4.1</t>
        </is>
      </c>
      <c r="B19" s="5" t="inlineStr">
        <is>
          <t>Dan</t>
        </is>
      </c>
      <c r="C19" s="6" t="n"/>
      <c r="D19" s="7" t="inlineStr">
        <is>
          <t>—</t>
        </is>
      </c>
      <c r="E19" s="6" t="n"/>
      <c r="F19" s="8" t="inlineStr">
        <is>
          <t>Valentin</t>
        </is>
      </c>
      <c r="G19" s="9">
        <f>IF(OR(C19="",E19=""),"",IF(C19&gt;E19,B19&amp;" 🏆",IF(C19&lt;E19,F19&amp;" 🏆","Match Nul ✌")))</f>
        <v/>
      </c>
      <c r="H19" s="10" t="n">
        <v>4</v>
      </c>
    </row>
    <row r="20" ht="24" customHeight="1">
      <c r="A20" s="11" t="inlineStr">
        <is>
          <t>4.2</t>
        </is>
      </c>
      <c r="B20" s="12" t="inlineStr">
        <is>
          <t>Cédric</t>
        </is>
      </c>
      <c r="C20" s="6" t="n"/>
      <c r="D20" s="13" t="inlineStr">
        <is>
          <t>—</t>
        </is>
      </c>
      <c r="E20" s="6" t="n"/>
      <c r="F20" s="14" t="inlineStr">
        <is>
          <t>Lucas</t>
        </is>
      </c>
      <c r="G20" s="15">
        <f>IF(OR(C20="",E20=""),"",IF(C20&gt;E20,B20&amp;" 🏆",IF(C20&lt;E20,F20&amp;" 🏆","Match Nul ✌")))</f>
        <v/>
      </c>
      <c r="H20" s="16" t="n">
        <v>4</v>
      </c>
    </row>
    <row r="21" ht="24" customHeight="1">
      <c r="A21" s="4" t="inlineStr">
        <is>
          <t>4.3</t>
        </is>
      </c>
      <c r="B21" s="5" t="inlineStr">
        <is>
          <t>Justinio</t>
        </is>
      </c>
      <c r="C21" s="6" t="n"/>
      <c r="D21" s="7" t="inlineStr">
        <is>
          <t>—</t>
        </is>
      </c>
      <c r="E21" s="6" t="n"/>
      <c r="F21" s="8" t="inlineStr">
        <is>
          <t>Bryan</t>
        </is>
      </c>
      <c r="G21" s="9">
        <f>IF(OR(C21="",E21=""),"",IF(C21&gt;E21,B21&amp;" 🏆",IF(C21&lt;E21,F21&amp;" 🏆","Match Nul ✌")))</f>
        <v/>
      </c>
      <c r="H21" s="10" t="n">
        <v>4</v>
      </c>
    </row>
    <row r="23" ht="20" customHeight="1">
      <c r="A23" s="3" t="inlineStr">
        <is>
          <t xml:space="preserve">  JOURNÉE 5</t>
        </is>
      </c>
    </row>
    <row r="24" ht="24" customHeight="1">
      <c r="A24" s="4" t="inlineStr">
        <is>
          <t>5.1</t>
        </is>
      </c>
      <c r="B24" s="5" t="inlineStr">
        <is>
          <t>Dan</t>
        </is>
      </c>
      <c r="C24" s="6" t="n"/>
      <c r="D24" s="7" t="inlineStr">
        <is>
          <t>—</t>
        </is>
      </c>
      <c r="E24" s="6" t="n"/>
      <c r="F24" s="8" t="inlineStr">
        <is>
          <t>Lucas</t>
        </is>
      </c>
      <c r="G24" s="9">
        <f>IF(OR(C24="",E24=""),"",IF(C24&gt;E24,B24&amp;" 🏆",IF(C24&lt;E24,F24&amp;" 🏆","Match Nul ✌")))</f>
        <v/>
      </c>
      <c r="H24" s="10" t="n">
        <v>5</v>
      </c>
    </row>
    <row r="25" ht="24" customHeight="1">
      <c r="A25" s="11" t="inlineStr">
        <is>
          <t>5.2</t>
        </is>
      </c>
      <c r="B25" s="12" t="inlineStr">
        <is>
          <t>Valentin</t>
        </is>
      </c>
      <c r="C25" s="6" t="n"/>
      <c r="D25" s="13" t="inlineStr">
        <is>
          <t>—</t>
        </is>
      </c>
      <c r="E25" s="6" t="n"/>
      <c r="F25" s="14" t="inlineStr">
        <is>
          <t>Bryan</t>
        </is>
      </c>
      <c r="G25" s="15">
        <f>IF(OR(C25="",E25=""),"",IF(C25&gt;E25,B25&amp;" 🏆",IF(C25&lt;E25,F25&amp;" 🏆","Match Nul ✌")))</f>
        <v/>
      </c>
      <c r="H25" s="16" t="n">
        <v>5</v>
      </c>
    </row>
    <row r="26" ht="24" customHeight="1">
      <c r="A26" s="4" t="inlineStr">
        <is>
          <t>5.3</t>
        </is>
      </c>
      <c r="B26" s="5" t="inlineStr">
        <is>
          <t>Cédric</t>
        </is>
      </c>
      <c r="C26" s="6" t="n"/>
      <c r="D26" s="7" t="inlineStr">
        <is>
          <t>—</t>
        </is>
      </c>
      <c r="E26" s="6" t="n"/>
      <c r="F26" s="8" t="inlineStr">
        <is>
          <t>Justinio</t>
        </is>
      </c>
      <c r="G26" s="9">
        <f>IF(OR(C26="",E26=""),"",IF(C26&gt;E26,B26&amp;" 🏆",IF(C26&lt;E26,F26&amp;" 🏆","Match Nul ✌")))</f>
        <v/>
      </c>
      <c r="H26" s="10" t="n">
        <v>5</v>
      </c>
    </row>
  </sheetData>
  <mergeCells count="6">
    <mergeCell ref="A18:H18"/>
    <mergeCell ref="A3:H3"/>
    <mergeCell ref="A13:H13"/>
    <mergeCell ref="A1:H1"/>
    <mergeCell ref="A23:H23"/>
    <mergeCell ref="A8:H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4" customWidth="1" min="2" max="2"/>
    <col width="16" customWidth="1" min="3" max="3"/>
    <col width="7" customWidth="1" min="4" max="4"/>
    <col width="7" customWidth="1" min="5" max="5"/>
    <col width="7" customWidth="1" min="6" max="6"/>
    <col width="7" customWidth="1" min="7" max="7"/>
    <col width="8" customWidth="1" min="8" max="8"/>
    <col width="8" customWidth="1" min="9" max="9"/>
    <col width="8" customWidth="1" min="10" max="10"/>
    <col width="9" customWidth="1" min="11" max="11"/>
  </cols>
  <sheetData>
    <row r="1" ht="36" customHeight="1">
      <c r="A1" s="1" t="inlineStr">
        <is>
          <t>🏆  CLASSEMENT  —  TOURNOI FIFA</t>
        </is>
      </c>
    </row>
    <row r="2" ht="18" customHeight="1">
      <c r="A2" s="17" t="inlineStr">
        <is>
          <t>Classement mis à jour automatiquement  ·  Saisir les scores dans l'onglet 📋 Scores</t>
        </is>
      </c>
    </row>
    <row r="3" ht="22" customHeight="1">
      <c r="A3" s="18" t="inlineStr">
        <is>
          <t>#</t>
        </is>
      </c>
      <c r="B3" s="18" t="inlineStr">
        <is>
          <t>🏅</t>
        </is>
      </c>
      <c r="C3" s="18" t="inlineStr">
        <is>
          <t>Joueur</t>
        </is>
      </c>
      <c r="D3" s="18" t="inlineStr">
        <is>
          <t>MJ</t>
        </is>
      </c>
      <c r="E3" s="18" t="inlineStr">
        <is>
          <t>V</t>
        </is>
      </c>
      <c r="F3" s="18" t="inlineStr">
        <is>
          <t>N</t>
        </is>
      </c>
      <c r="G3" s="18" t="inlineStr">
        <is>
          <t>D</t>
        </is>
      </c>
      <c r="H3" s="18" t="inlineStr">
        <is>
          <t>BP</t>
        </is>
      </c>
      <c r="I3" s="18" t="inlineStr">
        <is>
          <t>BC</t>
        </is>
      </c>
      <c r="J3" s="18" t="inlineStr">
        <is>
          <t>+/-</t>
        </is>
      </c>
      <c r="K3" s="18" t="inlineStr">
        <is>
          <t>Pts</t>
        </is>
      </c>
    </row>
    <row r="4" ht="26" customHeight="1">
      <c r="A4" s="19" t="n">
        <v>1</v>
      </c>
      <c r="B4" s="20" t="inlineStr">
        <is>
          <t>🥇</t>
        </is>
      </c>
      <c r="C4" s="21">
        <f>INDEX('📊 Data'!A22:A27,MATCH(LARGE('📊 Data'!K22:K27,1),'📊 Data'!K22:K27,0))</f>
        <v/>
      </c>
      <c r="D4" s="22">
        <f>IFERROR(INDEX('📊 Data'!B22:'📊 Data'!B27,MATCH(C4,'📊 Data'!A22:A27,0)),0)</f>
        <v/>
      </c>
      <c r="E4" s="22">
        <f>IFERROR(INDEX('📊 Data'!C22:'📊 Data'!C27,MATCH(C4,'📊 Data'!A22:A27,0)),0)</f>
        <v/>
      </c>
      <c r="F4" s="22">
        <f>IFERROR(INDEX('📊 Data'!D22:'📊 Data'!D27,MATCH(C4,'📊 Data'!A22:A27,0)),0)</f>
        <v/>
      </c>
      <c r="G4" s="22">
        <f>IFERROR(INDEX('📊 Data'!E22:'📊 Data'!E27,MATCH(C4,'📊 Data'!A22:A27,0)),0)</f>
        <v/>
      </c>
      <c r="H4" s="22">
        <f>IFERROR(INDEX('📊 Data'!F22:'📊 Data'!F27,MATCH(C4,'📊 Data'!A22:A27,0)),0)</f>
        <v/>
      </c>
      <c r="I4" s="22">
        <f>IFERROR(INDEX('📊 Data'!G22:'📊 Data'!G27,MATCH(C4,'📊 Data'!A22:A27,0)),0)</f>
        <v/>
      </c>
      <c r="J4" s="23">
        <f>IFERROR(INDEX('📊 Data'!H22:'📊 Data'!H27,MATCH(C4,'📊 Data'!A22:A27,0)),0)</f>
        <v/>
      </c>
      <c r="K4" s="24">
        <f>IFERROR(INDEX('📊 Data'!I22:'📊 Data'!I27,MATCH(C4,'📊 Data'!A22:A27,0)),0)</f>
        <v/>
      </c>
    </row>
    <row r="5" ht="26" customHeight="1">
      <c r="A5" s="25" t="n">
        <v>2</v>
      </c>
      <c r="B5" s="26" t="inlineStr">
        <is>
          <t>🥈</t>
        </is>
      </c>
      <c r="C5" s="27">
        <f>INDEX('📊 Data'!A22:A27,MATCH(LARGE('📊 Data'!K22:K27,2),'📊 Data'!K22:K27,0))</f>
        <v/>
      </c>
      <c r="D5" s="28">
        <f>IFERROR(INDEX('📊 Data'!B22:'📊 Data'!B27,MATCH(C5,'📊 Data'!A22:A27,0)),0)</f>
        <v/>
      </c>
      <c r="E5" s="28">
        <f>IFERROR(INDEX('📊 Data'!C22:'📊 Data'!C27,MATCH(C5,'📊 Data'!A22:A27,0)),0)</f>
        <v/>
      </c>
      <c r="F5" s="28">
        <f>IFERROR(INDEX('📊 Data'!D22:'📊 Data'!D27,MATCH(C5,'📊 Data'!A22:A27,0)),0)</f>
        <v/>
      </c>
      <c r="G5" s="28">
        <f>IFERROR(INDEX('📊 Data'!E22:'📊 Data'!E27,MATCH(C5,'📊 Data'!A22:A27,0)),0)</f>
        <v/>
      </c>
      <c r="H5" s="28">
        <f>IFERROR(INDEX('📊 Data'!F22:'📊 Data'!F27,MATCH(C5,'📊 Data'!A22:A27,0)),0)</f>
        <v/>
      </c>
      <c r="I5" s="28">
        <f>IFERROR(INDEX('📊 Data'!G22:'📊 Data'!G27,MATCH(C5,'📊 Data'!A22:A27,0)),0)</f>
        <v/>
      </c>
      <c r="J5" s="29">
        <f>IFERROR(INDEX('📊 Data'!H22:'📊 Data'!H27,MATCH(C5,'📊 Data'!A22:A27,0)),0)</f>
        <v/>
      </c>
      <c r="K5" s="30">
        <f>IFERROR(INDEX('📊 Data'!I22:'📊 Data'!I27,MATCH(C5,'📊 Data'!A22:A27,0)),0)</f>
        <v/>
      </c>
    </row>
    <row r="6" ht="26" customHeight="1">
      <c r="A6" s="31" t="n">
        <v>3</v>
      </c>
      <c r="B6" s="32" t="inlineStr">
        <is>
          <t>🥉</t>
        </is>
      </c>
      <c r="C6" s="33">
        <f>INDEX('📊 Data'!A22:A27,MATCH(LARGE('📊 Data'!K22:K27,3),'📊 Data'!K22:K27,0))</f>
        <v/>
      </c>
      <c r="D6" s="34">
        <f>IFERROR(INDEX('📊 Data'!B22:'📊 Data'!B27,MATCH(C6,'📊 Data'!A22:A27,0)),0)</f>
        <v/>
      </c>
      <c r="E6" s="34">
        <f>IFERROR(INDEX('📊 Data'!C22:'📊 Data'!C27,MATCH(C6,'📊 Data'!A22:A27,0)),0)</f>
        <v/>
      </c>
      <c r="F6" s="34">
        <f>IFERROR(INDEX('📊 Data'!D22:'📊 Data'!D27,MATCH(C6,'📊 Data'!A22:A27,0)),0)</f>
        <v/>
      </c>
      <c r="G6" s="34">
        <f>IFERROR(INDEX('📊 Data'!E22:'📊 Data'!E27,MATCH(C6,'📊 Data'!A22:A27,0)),0)</f>
        <v/>
      </c>
      <c r="H6" s="34">
        <f>IFERROR(INDEX('📊 Data'!F22:'📊 Data'!F27,MATCH(C6,'📊 Data'!A22:A27,0)),0)</f>
        <v/>
      </c>
      <c r="I6" s="34">
        <f>IFERROR(INDEX('📊 Data'!G22:'📊 Data'!G27,MATCH(C6,'📊 Data'!A22:A27,0)),0)</f>
        <v/>
      </c>
      <c r="J6" s="35">
        <f>IFERROR(INDEX('📊 Data'!H22:'📊 Data'!H27,MATCH(C6,'📊 Data'!A22:A27,0)),0)</f>
        <v/>
      </c>
      <c r="K6" s="36">
        <f>IFERROR(INDEX('📊 Data'!I22:'📊 Data'!I27,MATCH(C6,'📊 Data'!A22:A27,0)),0)</f>
        <v/>
      </c>
    </row>
    <row r="7" ht="26" customHeight="1">
      <c r="A7" s="37" t="n">
        <v>4</v>
      </c>
      <c r="B7" s="38" t="inlineStr">
        <is>
          <t>4️⃣</t>
        </is>
      </c>
      <c r="C7" s="39">
        <f>INDEX('📊 Data'!A22:A27,MATCH(LARGE('📊 Data'!K22:K27,4),'📊 Data'!K22:K27,0))</f>
        <v/>
      </c>
      <c r="D7" s="40">
        <f>IFERROR(INDEX('📊 Data'!B22:'📊 Data'!B27,MATCH(C7,'📊 Data'!A22:A27,0)),0)</f>
        <v/>
      </c>
      <c r="E7" s="40">
        <f>IFERROR(INDEX('📊 Data'!C22:'📊 Data'!C27,MATCH(C7,'📊 Data'!A22:A27,0)),0)</f>
        <v/>
      </c>
      <c r="F7" s="40">
        <f>IFERROR(INDEX('📊 Data'!D22:'📊 Data'!D27,MATCH(C7,'📊 Data'!A22:A27,0)),0)</f>
        <v/>
      </c>
      <c r="G7" s="40">
        <f>IFERROR(INDEX('📊 Data'!E22:'📊 Data'!E27,MATCH(C7,'📊 Data'!A22:A27,0)),0)</f>
        <v/>
      </c>
      <c r="H7" s="40">
        <f>IFERROR(INDEX('📊 Data'!F22:'📊 Data'!F27,MATCH(C7,'📊 Data'!A22:A27,0)),0)</f>
        <v/>
      </c>
      <c r="I7" s="40">
        <f>IFERROR(INDEX('📊 Data'!G22:'📊 Data'!G27,MATCH(C7,'📊 Data'!A22:A27,0)),0)</f>
        <v/>
      </c>
      <c r="J7" s="41">
        <f>IFERROR(INDEX('📊 Data'!H22:'📊 Data'!H27,MATCH(C7,'📊 Data'!A22:A27,0)),0)</f>
        <v/>
      </c>
      <c r="K7" s="42">
        <f>IFERROR(INDEX('📊 Data'!I22:'📊 Data'!I27,MATCH(C7,'📊 Data'!A22:A27,0)),0)</f>
        <v/>
      </c>
    </row>
    <row r="8" ht="26" customHeight="1">
      <c r="A8" s="37" t="n">
        <v>5</v>
      </c>
      <c r="B8" s="38" t="inlineStr">
        <is>
          <t>5️⃣</t>
        </is>
      </c>
      <c r="C8" s="39">
        <f>INDEX('📊 Data'!A22:A27,MATCH(LARGE('📊 Data'!K22:K27,5),'📊 Data'!K22:K27,0))</f>
        <v/>
      </c>
      <c r="D8" s="40">
        <f>IFERROR(INDEX('📊 Data'!B22:'📊 Data'!B27,MATCH(C8,'📊 Data'!A22:A27,0)),0)</f>
        <v/>
      </c>
      <c r="E8" s="40">
        <f>IFERROR(INDEX('📊 Data'!C22:'📊 Data'!C27,MATCH(C8,'📊 Data'!A22:A27,0)),0)</f>
        <v/>
      </c>
      <c r="F8" s="40">
        <f>IFERROR(INDEX('📊 Data'!D22:'📊 Data'!D27,MATCH(C8,'📊 Data'!A22:A27,0)),0)</f>
        <v/>
      </c>
      <c r="G8" s="40">
        <f>IFERROR(INDEX('📊 Data'!E22:'📊 Data'!E27,MATCH(C8,'📊 Data'!A22:A27,0)),0)</f>
        <v/>
      </c>
      <c r="H8" s="40">
        <f>IFERROR(INDEX('📊 Data'!F22:'📊 Data'!F27,MATCH(C8,'📊 Data'!A22:A27,0)),0)</f>
        <v/>
      </c>
      <c r="I8" s="40">
        <f>IFERROR(INDEX('📊 Data'!G22:'📊 Data'!G27,MATCH(C8,'📊 Data'!A22:A27,0)),0)</f>
        <v/>
      </c>
      <c r="J8" s="41">
        <f>IFERROR(INDEX('📊 Data'!H22:'📊 Data'!H27,MATCH(C8,'📊 Data'!A22:A27,0)),0)</f>
        <v/>
      </c>
      <c r="K8" s="42">
        <f>IFERROR(INDEX('📊 Data'!I22:'📊 Data'!I27,MATCH(C8,'📊 Data'!A22:A27,0)),0)</f>
        <v/>
      </c>
    </row>
    <row r="9" ht="26" customHeight="1">
      <c r="A9" s="37" t="n">
        <v>6</v>
      </c>
      <c r="B9" s="38" t="inlineStr">
        <is>
          <t>6️⃣</t>
        </is>
      </c>
      <c r="C9" s="39">
        <f>INDEX('📊 Data'!A22:A27,MATCH(LARGE('📊 Data'!K22:K27,6),'📊 Data'!K22:K27,0))</f>
        <v/>
      </c>
      <c r="D9" s="40">
        <f>IFERROR(INDEX('📊 Data'!B22:'📊 Data'!B27,MATCH(C9,'📊 Data'!A22:A27,0)),0)</f>
        <v/>
      </c>
      <c r="E9" s="40">
        <f>IFERROR(INDEX('📊 Data'!C22:'📊 Data'!C27,MATCH(C9,'📊 Data'!A22:A27,0)),0)</f>
        <v/>
      </c>
      <c r="F9" s="40">
        <f>IFERROR(INDEX('📊 Data'!D22:'📊 Data'!D27,MATCH(C9,'📊 Data'!A22:A27,0)),0)</f>
        <v/>
      </c>
      <c r="G9" s="40">
        <f>IFERROR(INDEX('📊 Data'!E22:'📊 Data'!E27,MATCH(C9,'📊 Data'!A22:A27,0)),0)</f>
        <v/>
      </c>
      <c r="H9" s="40">
        <f>IFERROR(INDEX('📊 Data'!F22:'📊 Data'!F27,MATCH(C9,'📊 Data'!A22:A27,0)),0)</f>
        <v/>
      </c>
      <c r="I9" s="40">
        <f>IFERROR(INDEX('📊 Data'!G22:'📊 Data'!G27,MATCH(C9,'📊 Data'!A22:A27,0)),0)</f>
        <v/>
      </c>
      <c r="J9" s="41">
        <f>IFERROR(INDEX('📊 Data'!H22:'📊 Data'!H27,MATCH(C9,'📊 Data'!A22:A27,0)),0)</f>
        <v/>
      </c>
      <c r="K9" s="42">
        <f>IFERROR(INDEX('📊 Data'!I22:'📊 Data'!I27,MATCH(C9,'📊 Data'!A22:A27,0)),0)</f>
        <v/>
      </c>
    </row>
    <row r="11" ht="18" customHeight="1">
      <c r="A11" s="43" t="inlineStr">
        <is>
          <t xml:space="preserve">  V = Victoire (3 pts)   ·   N = Nul (1 pt)   ·   D = Défaite (0 pt)   ·   BP = Buts Pour   ·   BC = Buts Contre</t>
        </is>
      </c>
    </row>
  </sheetData>
  <mergeCells count="3">
    <mergeCell ref="A2:K2"/>
    <mergeCell ref="A11:K11"/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7"/>
  <sheetViews>
    <sheetView showGridLines="0" workbookViewId="0">
      <selection activeCell="A1" sqref="A1"/>
    </sheetView>
  </sheetViews>
  <sheetFormatPr baseColWidth="8" defaultRowHeight="15"/>
  <sheetData>
    <row r="1">
      <c r="A1" s="44" t="inlineStr">
        <is>
          <t>Journée</t>
        </is>
      </c>
      <c r="B1" s="44" t="inlineStr">
        <is>
          <t>Domicile</t>
        </is>
      </c>
      <c r="C1" s="44" t="inlineStr">
        <is>
          <t>ScoreD</t>
        </is>
      </c>
      <c r="D1" s="44" t="inlineStr">
        <is>
          <t>ScoreE</t>
        </is>
      </c>
      <c r="E1" s="44" t="inlineStr">
        <is>
          <t>Extérieur</t>
        </is>
      </c>
    </row>
    <row r="2">
      <c r="A2" t="n">
        <v>1</v>
      </c>
      <c r="B2" t="inlineStr">
        <is>
          <t>Dan</t>
        </is>
      </c>
      <c r="C2">
        <f>'📋 Scores'!C4</f>
        <v/>
      </c>
      <c r="D2">
        <f>'📋 Scores'!E4</f>
        <v/>
      </c>
      <c r="E2" t="inlineStr">
        <is>
          <t>Bryan</t>
        </is>
      </c>
    </row>
    <row r="3">
      <c r="A3" t="n">
        <v>1</v>
      </c>
      <c r="B3" t="inlineStr">
        <is>
          <t>Lucas</t>
        </is>
      </c>
      <c r="C3">
        <f>'📋 Scores'!C5</f>
        <v/>
      </c>
      <c r="D3">
        <f>'📋 Scores'!E5</f>
        <v/>
      </c>
      <c r="E3" t="inlineStr">
        <is>
          <t>Justinio</t>
        </is>
      </c>
    </row>
    <row r="4">
      <c r="A4" t="n">
        <v>1</v>
      </c>
      <c r="B4" t="inlineStr">
        <is>
          <t>Valentin</t>
        </is>
      </c>
      <c r="C4">
        <f>'📋 Scores'!C6</f>
        <v/>
      </c>
      <c r="D4">
        <f>'📋 Scores'!E6</f>
        <v/>
      </c>
      <c r="E4" t="inlineStr">
        <is>
          <t>Cédric</t>
        </is>
      </c>
    </row>
    <row r="5">
      <c r="A5" t="n">
        <v>2</v>
      </c>
      <c r="B5" t="inlineStr">
        <is>
          <t>Dan</t>
        </is>
      </c>
      <c r="C5">
        <f>'📋 Scores'!C9</f>
        <v/>
      </c>
      <c r="D5">
        <f>'📋 Scores'!E9</f>
        <v/>
      </c>
      <c r="E5" t="inlineStr">
        <is>
          <t>Justinio</t>
        </is>
      </c>
    </row>
    <row r="6">
      <c r="A6" t="n">
        <v>2</v>
      </c>
      <c r="B6" t="inlineStr">
        <is>
          <t>Bryan</t>
        </is>
      </c>
      <c r="C6">
        <f>'📋 Scores'!C10</f>
        <v/>
      </c>
      <c r="D6">
        <f>'📋 Scores'!E10</f>
        <v/>
      </c>
      <c r="E6" t="inlineStr">
        <is>
          <t>Cédric</t>
        </is>
      </c>
    </row>
    <row r="7">
      <c r="A7" t="n">
        <v>2</v>
      </c>
      <c r="B7" t="inlineStr">
        <is>
          <t>Lucas</t>
        </is>
      </c>
      <c r="C7">
        <f>'📋 Scores'!C11</f>
        <v/>
      </c>
      <c r="D7">
        <f>'📋 Scores'!E11</f>
        <v/>
      </c>
      <c r="E7" t="inlineStr">
        <is>
          <t>Valentin</t>
        </is>
      </c>
    </row>
    <row r="8">
      <c r="A8" t="n">
        <v>3</v>
      </c>
      <c r="B8" t="inlineStr">
        <is>
          <t>Dan</t>
        </is>
      </c>
      <c r="C8">
        <f>'📋 Scores'!C14</f>
        <v/>
      </c>
      <c r="D8">
        <f>'📋 Scores'!E14</f>
        <v/>
      </c>
      <c r="E8" t="inlineStr">
        <is>
          <t>Cédric</t>
        </is>
      </c>
    </row>
    <row r="9">
      <c r="A9" t="n">
        <v>3</v>
      </c>
      <c r="B9" t="inlineStr">
        <is>
          <t>Justinio</t>
        </is>
      </c>
      <c r="C9">
        <f>'📋 Scores'!C15</f>
        <v/>
      </c>
      <c r="D9">
        <f>'📋 Scores'!E15</f>
        <v/>
      </c>
      <c r="E9" t="inlineStr">
        <is>
          <t>Valentin</t>
        </is>
      </c>
    </row>
    <row r="10">
      <c r="A10" t="n">
        <v>3</v>
      </c>
      <c r="B10" t="inlineStr">
        <is>
          <t>Bryan</t>
        </is>
      </c>
      <c r="C10">
        <f>'📋 Scores'!C16</f>
        <v/>
      </c>
      <c r="D10">
        <f>'📋 Scores'!E16</f>
        <v/>
      </c>
      <c r="E10" t="inlineStr">
        <is>
          <t>Lucas</t>
        </is>
      </c>
    </row>
    <row r="11">
      <c r="A11" t="n">
        <v>4</v>
      </c>
      <c r="B11" t="inlineStr">
        <is>
          <t>Dan</t>
        </is>
      </c>
      <c r="C11">
        <f>'📋 Scores'!C19</f>
        <v/>
      </c>
      <c r="D11">
        <f>'📋 Scores'!E19</f>
        <v/>
      </c>
      <c r="E11" t="inlineStr">
        <is>
          <t>Valentin</t>
        </is>
      </c>
    </row>
    <row r="12">
      <c r="A12" t="n">
        <v>4</v>
      </c>
      <c r="B12" t="inlineStr">
        <is>
          <t>Cédric</t>
        </is>
      </c>
      <c r="C12">
        <f>'📋 Scores'!C20</f>
        <v/>
      </c>
      <c r="D12">
        <f>'📋 Scores'!E20</f>
        <v/>
      </c>
      <c r="E12" t="inlineStr">
        <is>
          <t>Lucas</t>
        </is>
      </c>
    </row>
    <row r="13">
      <c r="A13" t="n">
        <v>4</v>
      </c>
      <c r="B13" t="inlineStr">
        <is>
          <t>Justinio</t>
        </is>
      </c>
      <c r="C13">
        <f>'📋 Scores'!C21</f>
        <v/>
      </c>
      <c r="D13">
        <f>'📋 Scores'!E21</f>
        <v/>
      </c>
      <c r="E13" t="inlineStr">
        <is>
          <t>Bryan</t>
        </is>
      </c>
    </row>
    <row r="14">
      <c r="A14" t="n">
        <v>5</v>
      </c>
      <c r="B14" t="inlineStr">
        <is>
          <t>Dan</t>
        </is>
      </c>
      <c r="C14">
        <f>'📋 Scores'!C24</f>
        <v/>
      </c>
      <c r="D14">
        <f>'📋 Scores'!E24</f>
        <v/>
      </c>
      <c r="E14" t="inlineStr">
        <is>
          <t>Lucas</t>
        </is>
      </c>
    </row>
    <row r="15">
      <c r="A15" t="n">
        <v>5</v>
      </c>
      <c r="B15" t="inlineStr">
        <is>
          <t>Valentin</t>
        </is>
      </c>
      <c r="C15">
        <f>'📋 Scores'!C25</f>
        <v/>
      </c>
      <c r="D15">
        <f>'📋 Scores'!E25</f>
        <v/>
      </c>
      <c r="E15" t="inlineStr">
        <is>
          <t>Bryan</t>
        </is>
      </c>
    </row>
    <row r="16">
      <c r="A16" t="n">
        <v>5</v>
      </c>
      <c r="B16" t="inlineStr">
        <is>
          <t>Cédric</t>
        </is>
      </c>
      <c r="C16">
        <f>'📋 Scores'!C26</f>
        <v/>
      </c>
      <c r="D16">
        <f>'📋 Scores'!E26</f>
        <v/>
      </c>
      <c r="E16" t="inlineStr">
        <is>
          <t>Justinio</t>
        </is>
      </c>
    </row>
    <row r="20">
      <c r="A20" t="inlineStr">
        <is>
          <t>STATS PAR JOUEUR</t>
        </is>
      </c>
      <c r="L20" t="inlineStr">
        <is>
          <t>RANK</t>
        </is>
      </c>
    </row>
    <row r="21">
      <c r="A21" t="inlineStr">
        <is>
          <t>Joueur</t>
        </is>
      </c>
      <c r="B21" t="inlineStr">
        <is>
          <t>MJ</t>
        </is>
      </c>
      <c r="C21" t="inlineStr">
        <is>
          <t>V</t>
        </is>
      </c>
      <c r="D21" t="inlineStr">
        <is>
          <t>N</t>
        </is>
      </c>
      <c r="E21" t="inlineStr">
        <is>
          <t>D</t>
        </is>
      </c>
      <c r="F21" t="inlineStr">
        <is>
          <t>BP</t>
        </is>
      </c>
      <c r="G21" t="inlineStr">
        <is>
          <t>BC</t>
        </is>
      </c>
      <c r="H21" t="inlineStr">
        <is>
          <t>Diff</t>
        </is>
      </c>
      <c r="I21" t="inlineStr">
        <is>
          <t>Pts</t>
        </is>
      </c>
    </row>
    <row r="22">
      <c r="A22" t="inlineStr">
        <is>
          <t>Dan</t>
        </is>
      </c>
      <c r="B22">
        <f>SUMPRODUCT((B2:B16="Dan")*(C2:C16&lt;&gt;"")*(D2:D16&lt;&gt;""))+SUMPRODUCT((E2:E16="Dan")*(C2:C16&lt;&gt;"")*(D2:D16&lt;&gt;""))</f>
        <v/>
      </c>
      <c r="C22">
        <f>SUMPRODUCT((B2:B16="Dan")*(C2:C16&lt;&gt;"")*(D2:D16&lt;&gt;"")*(C2:C16&gt;D2:D16))+SUMPRODUCT((E2:E16="Dan")*(C2:C16&lt;&gt;"")*(D2:D16&lt;&gt;"")*(D2:D16&gt;C2:C16))</f>
        <v/>
      </c>
      <c r="D22">
        <f>SUMPRODUCT((B2:B16="Dan")*(C2:C16&lt;&gt;"")*(D2:D16&lt;&gt;"")*(C2:C16=D2:D16))+SUMPRODUCT((E2:E16="Dan")*(C2:C16&lt;&gt;"")*(D2:D16&lt;&gt;"")*(C2:C16=D2:D16))</f>
        <v/>
      </c>
      <c r="E22">
        <f>SUMPRODUCT((B2:B16="Dan")*(C2:C16&lt;&gt;"")*(D2:D16&lt;&gt;"")*(C2:C16&lt;D2:D16))+SUMPRODUCT((E2:E16="Dan")*(C2:C16&lt;&gt;"")*(D2:D16&lt;&gt;"")*(D2:D16&lt;C2:C16))</f>
        <v/>
      </c>
      <c r="F22">
        <f>SUMPRODUCT((B2:B16="Dan")*(C2:C16&lt;&gt;"")*IFERROR(C2:C16*1,0))+SUMPRODUCT((E2:E16="Dan")*(D2:D16&lt;&gt;"")*IFERROR(D2:D16*1,0))</f>
        <v/>
      </c>
      <c r="G22">
        <f>SUMPRODUCT((B2:B16="Dan")*(D2:D16&lt;&gt;"")*IFERROR(D2:D16*1,0))+SUMPRODUCT((E2:E16="Dan")*(C2:C16&lt;&gt;"")*IFERROR(C2:C16*1,0))</f>
        <v/>
      </c>
      <c r="H22">
        <f>F22-G22</f>
        <v/>
      </c>
      <c r="I22">
        <f>C22*3+D22</f>
        <v/>
      </c>
      <c r="K22">
        <f>I22+H22/1000+F22/100000</f>
        <v/>
      </c>
    </row>
    <row r="23">
      <c r="A23" t="inlineStr">
        <is>
          <t>Bryan</t>
        </is>
      </c>
      <c r="B23">
        <f>SUMPRODUCT((B2:B16="Bryan")*(C2:C16&lt;&gt;"")*(D2:D16&lt;&gt;""))+SUMPRODUCT((E2:E16="Bryan")*(C2:C16&lt;&gt;"")*(D2:D16&lt;&gt;""))</f>
        <v/>
      </c>
      <c r="C23">
        <f>SUMPRODUCT((B2:B16="Bryan")*(C2:C16&lt;&gt;"")*(D2:D16&lt;&gt;"")*(C2:C16&gt;D2:D16))+SUMPRODUCT((E2:E16="Bryan")*(C2:C16&lt;&gt;"")*(D2:D16&lt;&gt;"")*(D2:D16&gt;C2:C16))</f>
        <v/>
      </c>
      <c r="D23">
        <f>SUMPRODUCT((B2:B16="Bryan")*(C2:C16&lt;&gt;"")*(D2:D16&lt;&gt;"")*(C2:C16=D2:D16))+SUMPRODUCT((E2:E16="Bryan")*(C2:C16&lt;&gt;"")*(D2:D16&lt;&gt;"")*(C2:C16=D2:D16))</f>
        <v/>
      </c>
      <c r="E23">
        <f>SUMPRODUCT((B2:B16="Bryan")*(C2:C16&lt;&gt;"")*(D2:D16&lt;&gt;"")*(C2:C16&lt;D2:D16))+SUMPRODUCT((E2:E16="Bryan")*(C2:C16&lt;&gt;"")*(D2:D16&lt;&gt;"")*(D2:D16&lt;C2:C16))</f>
        <v/>
      </c>
      <c r="F23">
        <f>SUMPRODUCT((B2:B16="Bryan")*(C2:C16&lt;&gt;"")*IFERROR(C2:C16*1,0))+SUMPRODUCT((E2:E16="Bryan")*(D2:D16&lt;&gt;"")*IFERROR(D2:D16*1,0))</f>
        <v/>
      </c>
      <c r="G23">
        <f>SUMPRODUCT((B2:B16="Bryan")*(D2:D16&lt;&gt;"")*IFERROR(D2:D16*1,0))+SUMPRODUCT((E2:E16="Bryan")*(C2:C16&lt;&gt;"")*IFERROR(C2:C16*1,0))</f>
        <v/>
      </c>
      <c r="H23">
        <f>F23-G23</f>
        <v/>
      </c>
      <c r="I23">
        <f>C23*3+D23</f>
        <v/>
      </c>
      <c r="K23">
        <f>I23+H23/1000+F23/100000</f>
        <v/>
      </c>
    </row>
    <row r="24">
      <c r="A24" t="inlineStr">
        <is>
          <t>Lucas</t>
        </is>
      </c>
      <c r="B24">
        <f>SUMPRODUCT((B2:B16="Lucas")*(C2:C16&lt;&gt;"")*(D2:D16&lt;&gt;""))+SUMPRODUCT((E2:E16="Lucas")*(C2:C16&lt;&gt;"")*(D2:D16&lt;&gt;""))</f>
        <v/>
      </c>
      <c r="C24">
        <f>SUMPRODUCT((B2:B16="Lucas")*(C2:C16&lt;&gt;"")*(D2:D16&lt;&gt;"")*(C2:C16&gt;D2:D16))+SUMPRODUCT((E2:E16="Lucas")*(C2:C16&lt;&gt;"")*(D2:D16&lt;&gt;"")*(D2:D16&gt;C2:C16))</f>
        <v/>
      </c>
      <c r="D24">
        <f>SUMPRODUCT((B2:B16="Lucas")*(C2:C16&lt;&gt;"")*(D2:D16&lt;&gt;"")*(C2:C16=D2:D16))+SUMPRODUCT((E2:E16="Lucas")*(C2:C16&lt;&gt;"")*(D2:D16&lt;&gt;"")*(C2:C16=D2:D16))</f>
        <v/>
      </c>
      <c r="E24">
        <f>SUMPRODUCT((B2:B16="Lucas")*(C2:C16&lt;&gt;"")*(D2:D16&lt;&gt;"")*(C2:C16&lt;D2:D16))+SUMPRODUCT((E2:E16="Lucas")*(C2:C16&lt;&gt;"")*(D2:D16&lt;&gt;"")*(D2:D16&lt;C2:C16))</f>
        <v/>
      </c>
      <c r="F24">
        <f>SUMPRODUCT((B2:B16="Lucas")*(C2:C16&lt;&gt;"")*IFERROR(C2:C16*1,0))+SUMPRODUCT((E2:E16="Lucas")*(D2:D16&lt;&gt;"")*IFERROR(D2:D16*1,0))</f>
        <v/>
      </c>
      <c r="G24">
        <f>SUMPRODUCT((B2:B16="Lucas")*(D2:D16&lt;&gt;"")*IFERROR(D2:D16*1,0))+SUMPRODUCT((E2:E16="Lucas")*(C2:C16&lt;&gt;"")*IFERROR(C2:C16*1,0))</f>
        <v/>
      </c>
      <c r="H24">
        <f>F24-G24</f>
        <v/>
      </c>
      <c r="I24">
        <f>C24*3+D24</f>
        <v/>
      </c>
      <c r="K24">
        <f>I24+H24/1000+F24/100000</f>
        <v/>
      </c>
    </row>
    <row r="25">
      <c r="A25" t="inlineStr">
        <is>
          <t>Justinio</t>
        </is>
      </c>
      <c r="B25">
        <f>SUMPRODUCT((B2:B16="Justinio")*(C2:C16&lt;&gt;"")*(D2:D16&lt;&gt;""))+SUMPRODUCT((E2:E16="Justinio")*(C2:C16&lt;&gt;"")*(D2:D16&lt;&gt;""))</f>
        <v/>
      </c>
      <c r="C25">
        <f>SUMPRODUCT((B2:B16="Justinio")*(C2:C16&lt;&gt;"")*(D2:D16&lt;&gt;"")*(C2:C16&gt;D2:D16))+SUMPRODUCT((E2:E16="Justinio")*(C2:C16&lt;&gt;"")*(D2:D16&lt;&gt;"")*(D2:D16&gt;C2:C16))</f>
        <v/>
      </c>
      <c r="D25">
        <f>SUMPRODUCT((B2:B16="Justinio")*(C2:C16&lt;&gt;"")*(D2:D16&lt;&gt;"")*(C2:C16=D2:D16))+SUMPRODUCT((E2:E16="Justinio")*(C2:C16&lt;&gt;"")*(D2:D16&lt;&gt;"")*(C2:C16=D2:D16))</f>
        <v/>
      </c>
      <c r="E25">
        <f>SUMPRODUCT((B2:B16="Justinio")*(C2:C16&lt;&gt;"")*(D2:D16&lt;&gt;"")*(C2:C16&lt;D2:D16))+SUMPRODUCT((E2:E16="Justinio")*(C2:C16&lt;&gt;"")*(D2:D16&lt;&gt;"")*(D2:D16&lt;C2:C16))</f>
        <v/>
      </c>
      <c r="F25">
        <f>SUMPRODUCT((B2:B16="Justinio")*(C2:C16&lt;&gt;"")*IFERROR(C2:C16*1,0))+SUMPRODUCT((E2:E16="Justinio")*(D2:D16&lt;&gt;"")*IFERROR(D2:D16*1,0))</f>
        <v/>
      </c>
      <c r="G25">
        <f>SUMPRODUCT((B2:B16="Justinio")*(D2:D16&lt;&gt;"")*IFERROR(D2:D16*1,0))+SUMPRODUCT((E2:E16="Justinio")*(C2:C16&lt;&gt;"")*IFERROR(C2:C16*1,0))</f>
        <v/>
      </c>
      <c r="H25">
        <f>F25-G25</f>
        <v/>
      </c>
      <c r="I25">
        <f>C25*3+D25</f>
        <v/>
      </c>
      <c r="K25">
        <f>I25+H25/1000+F25/100000</f>
        <v/>
      </c>
    </row>
    <row r="26">
      <c r="A26" t="inlineStr">
        <is>
          <t>Valentin</t>
        </is>
      </c>
      <c r="B26">
        <f>SUMPRODUCT((B2:B16="Valentin")*(C2:C16&lt;&gt;"")*(D2:D16&lt;&gt;""))+SUMPRODUCT((E2:E16="Valentin")*(C2:C16&lt;&gt;"")*(D2:D16&lt;&gt;""))</f>
        <v/>
      </c>
      <c r="C26">
        <f>SUMPRODUCT((B2:B16="Valentin")*(C2:C16&lt;&gt;"")*(D2:D16&lt;&gt;"")*(C2:C16&gt;D2:D16))+SUMPRODUCT((E2:E16="Valentin")*(C2:C16&lt;&gt;"")*(D2:D16&lt;&gt;"")*(D2:D16&gt;C2:C16))</f>
        <v/>
      </c>
      <c r="D26">
        <f>SUMPRODUCT((B2:B16="Valentin")*(C2:C16&lt;&gt;"")*(D2:D16&lt;&gt;"")*(C2:C16=D2:D16))+SUMPRODUCT((E2:E16="Valentin")*(C2:C16&lt;&gt;"")*(D2:D16&lt;&gt;"")*(C2:C16=D2:D16))</f>
        <v/>
      </c>
      <c r="E26">
        <f>SUMPRODUCT((B2:B16="Valentin")*(C2:C16&lt;&gt;"")*(D2:D16&lt;&gt;"")*(C2:C16&lt;D2:D16))+SUMPRODUCT((E2:E16="Valentin")*(C2:C16&lt;&gt;"")*(D2:D16&lt;&gt;"")*(D2:D16&lt;C2:C16))</f>
        <v/>
      </c>
      <c r="F26">
        <f>SUMPRODUCT((B2:B16="Valentin")*(C2:C16&lt;&gt;"")*IFERROR(C2:C16*1,0))+SUMPRODUCT((E2:E16="Valentin")*(D2:D16&lt;&gt;"")*IFERROR(D2:D16*1,0))</f>
        <v/>
      </c>
      <c r="G26">
        <f>SUMPRODUCT((B2:B16="Valentin")*(D2:D16&lt;&gt;"")*IFERROR(D2:D16*1,0))+SUMPRODUCT((E2:E16="Valentin")*(C2:C16&lt;&gt;"")*IFERROR(C2:C16*1,0))</f>
        <v/>
      </c>
      <c r="H26">
        <f>F26-G26</f>
        <v/>
      </c>
      <c r="I26">
        <f>C26*3+D26</f>
        <v/>
      </c>
      <c r="K26">
        <f>I26+H26/1000+F26/100000</f>
        <v/>
      </c>
    </row>
    <row r="27">
      <c r="A27" t="inlineStr">
        <is>
          <t>Cédric</t>
        </is>
      </c>
      <c r="B27">
        <f>SUMPRODUCT((B2:B16="Cédric")*(C2:C16&lt;&gt;"")*(D2:D16&lt;&gt;""))+SUMPRODUCT((E2:E16="Cédric")*(C2:C16&lt;&gt;"")*(D2:D16&lt;&gt;""))</f>
        <v/>
      </c>
      <c r="C27">
        <f>SUMPRODUCT((B2:B16="Cédric")*(C2:C16&lt;&gt;"")*(D2:D16&lt;&gt;"")*(C2:C16&gt;D2:D16))+SUMPRODUCT((E2:E16="Cédric")*(C2:C16&lt;&gt;"")*(D2:D16&lt;&gt;"")*(D2:D16&gt;C2:C16))</f>
        <v/>
      </c>
      <c r="D27">
        <f>SUMPRODUCT((B2:B16="Cédric")*(C2:C16&lt;&gt;"")*(D2:D16&lt;&gt;"")*(C2:C16=D2:D16))+SUMPRODUCT((E2:E16="Cédric")*(C2:C16&lt;&gt;"")*(D2:D16&lt;&gt;"")*(C2:C16=D2:D16))</f>
        <v/>
      </c>
      <c r="E27">
        <f>SUMPRODUCT((B2:B16="Cédric")*(C2:C16&lt;&gt;"")*(D2:D16&lt;&gt;"")*(C2:C16&lt;D2:D16))+SUMPRODUCT((E2:E16="Cédric")*(C2:C16&lt;&gt;"")*(D2:D16&lt;&gt;"")*(D2:D16&lt;C2:C16))</f>
        <v/>
      </c>
      <c r="F27">
        <f>SUMPRODUCT((B2:B16="Cédric")*(C2:C16&lt;&gt;"")*IFERROR(C2:C16*1,0))+SUMPRODUCT((E2:E16="Cédric")*(D2:D16&lt;&gt;"")*IFERROR(D2:D16*1,0))</f>
        <v/>
      </c>
      <c r="G27">
        <f>SUMPRODUCT((B2:B16="Cédric")*(D2:D16&lt;&gt;"")*IFERROR(D2:D16*1,0))+SUMPRODUCT((E2:E16="Cédric")*(C2:C16&lt;&gt;"")*IFERROR(C2:C16*1,0))</f>
        <v/>
      </c>
      <c r="H27">
        <f>F27-G27</f>
        <v/>
      </c>
      <c r="I27">
        <f>C27*3+D27</f>
        <v/>
      </c>
      <c r="K27">
        <f>I27+H27/1000+F27/100000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2026-06-01T13:10:35Z</dcterms:created>
  <dcterms:modified xmlns:dcterms="http://purl.org/dc/terms/" xmlns:xsi="http://www.w3.org/2001/XMLSchema-instance" xsi:type="dcterms:W3CDTF">2026-06-01T13:10:35Z</dcterms:modified>
</cp:coreProperties>
</file>